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MasterData" sheetId="2" state="visible" r:id="rId4"/>
    <sheet name="TestRequests" sheetId="3" state="visible" r:id="rId5"/>
    <sheet name="TestRuns" sheetId="4" state="visible" r:id="rId6"/>
    <sheet name="Report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<sst xmlns="http://schemas.openxmlformats.org/spreadsheetml/2006/main" count="132" uniqueCount="110">
  <si>
    <t xml:space="preserve">วิธีติดตั้งระบบ Regis งานทดสอบ (ใช้เวลา ~15 นาที)</t>
  </si>
  <si>
    <t xml:space="preserve">ขั้นที่ 1: นำเข้า Google Sheets</t>
  </si>
  <si>
    <t xml:space="preserve">อัปโหลดไฟล์นี้เข้า Google Drive &gt; เปิดไฟล์ &gt; กดเมนู File (ไฟล์) &gt; Save as Google Sheets (บันทึกเป็น Google ชีต)</t>
  </si>
  <si>
    <t xml:space="preserve">ขั้นที่ 2: สร้างโฟลเดอร์กลาง</t>
  </si>
  <si>
    <t xml:space="preserve">สร้างโฟลเดอร์ใน Google Drive ชื่อ เช่น TestLab แล้วคัดลอก Folder ID จาก URL</t>
  </si>
  <si>
    <t xml:space="preserve">ตัวอย่าง URL: drive.google.com/drive/folders/1AbCdEfGh123 &gt; Folder ID คือ 1AbCdEfGh123</t>
  </si>
  <si>
    <t xml:space="preserve">ขั้นที่ 3: ติดตั้ง Apps Script</t>
  </si>
  <si>
    <t xml:space="preserve">ในชีท กดเมนู Extensions (ส่วนขยาย) &gt; Apps Script &gt; ลบโค้ดเดิม &gt; วางโค้ดจากไฟล์ Code.gs ที่ได้รับมาด้วยกัน</t>
  </si>
  <si>
    <t xml:space="preserve">แก้บรรทัดแรกของโค้ด: ใส่ Folder ID จากขั้นที่ 2 ลงใน ROOT_FOLDER_ID แล้วกด Save</t>
  </si>
  <si>
    <t xml:space="preserve">ขั้นที่ 4: เริ่มใช้งาน</t>
  </si>
  <si>
    <t xml:space="preserve">ปิด-เปิดชีทใหม่ จะมีเมนู [ระบบ Regis] ด้านบน &gt; กด [ลงงานใหม่] ครั้งแรกระบบจะขอสิทธิ์ ให้กด Allow</t>
  </si>
  <si>
    <t xml:space="preserve">ระบบจะออกเลข Regis No. อัตโนมัติ + สร้างโฟลเดอร์ 01_Request / 02_Photos / 03_RawData / 04_Report ให้ + ใส่ลิงก์และ QR ในแถว</t>
  </si>
  <si>
    <t xml:space="preserve">พิมพ์ QR (คอลัมน์ QR) ติดที่ชิ้นงาน Lamp — สแกนแล้วเปิดแถวของงานนั้นทันที</t>
  </si>
  <si>
    <t xml:space="preserve">ขั้นที่ 5 (ทางเลือก): แอปมือถือ</t>
  </si>
  <si>
    <t xml:space="preserve">Extensions &gt; AppSheet &gt; Create an app — ได้แอปมือถือจากชีทนี้อัตโนมัติ ใช้สแกน QR และอัปเดตสถานะหน้างานได้</t>
  </si>
  <si>
    <t xml:space="preserve">กติกาการใช้งาน</t>
  </si>
  <si>
    <t xml:space="preserve">1 งาน = 1 แถวใน TestRequests | เทสแต่ละครั้งลงใน TestRuns | รีพอร์ทลงใน Reports | แก้รายชื่อ/แผนก/สถานที่ที่ชีท MasterData ที่เดียว</t>
  </si>
  <si>
    <t xml:space="preserve">ช่องที่ต้องกรอกเอง = พื้นหลังขาว | ช่องที่ระบบ/สูตรใส่ให้ = อย่าพิมพ์ทับ (Regis No., ลิงก์โฟลเดอร์, QR) | แถวตัวอย่างสีเทา ลบได้เลย</t>
  </si>
  <si>
    <t xml:space="preserve">ห้ามลบแถวงาน ใช้สถานะ 10-Cancel แทน เพื่อเก็บประวัติ audit</t>
  </si>
  <si>
    <t xml:space="preserve">แผนกที่รีเควส</t>
  </si>
  <si>
    <t xml:space="preserve">รายชื่อทีม</t>
  </si>
  <si>
    <t xml:space="preserve">ตำแหน่งเก็บพาร์ท</t>
  </si>
  <si>
    <t xml:space="preserve">ที่เก็บชิ้นงานเสร็จ</t>
  </si>
  <si>
    <t xml:space="preserve">สถานะงาน</t>
  </si>
  <si>
    <t xml:space="preserve">ผลเทส</t>
  </si>
  <si>
    <t xml:space="preserve">สถานะรีพอร์ท</t>
  </si>
  <si>
    <t xml:space="preserve">R&amp;D</t>
  </si>
  <si>
    <t xml:space="preserve">สมชาย</t>
  </si>
  <si>
    <t xml:space="preserve">ชั้น A-1</t>
  </si>
  <si>
    <t xml:space="preserve">ชั้นงานเสร็จ B-1</t>
  </si>
  <si>
    <t xml:space="preserve">1-รับใบรีเควส</t>
  </si>
  <si>
    <t xml:space="preserve">Pass</t>
  </si>
  <si>
    <t xml:space="preserve">ยังไม่เริ่ม</t>
  </si>
  <si>
    <t xml:space="preserve">QA</t>
  </si>
  <si>
    <t xml:space="preserve">สมหญิง</t>
  </si>
  <si>
    <t xml:space="preserve">ชั้น A-2</t>
  </si>
  <si>
    <t xml:space="preserve">ชั้นงานเสร็จ B-2</t>
  </si>
  <si>
    <t xml:space="preserve">2-รอรับพาร์ท</t>
  </si>
  <si>
    <t xml:space="preserve">Fail</t>
  </si>
  <si>
    <t xml:space="preserve">กำลังทำ</t>
  </si>
  <si>
    <t xml:space="preserve">Production</t>
  </si>
  <si>
    <t xml:space="preserve">วิชัย</t>
  </si>
  <si>
    <t xml:space="preserve">ชั้น A-3</t>
  </si>
  <si>
    <t xml:space="preserve">คืนแผนกผู้รีเควส</t>
  </si>
  <si>
    <t xml:space="preserve">3-รับพาร์ทแล้ว/รอคิวเทส</t>
  </si>
  <si>
    <t xml:space="preserve">Conditional Pass</t>
  </si>
  <si>
    <t xml:space="preserve">รออนุมัติ</t>
  </si>
  <si>
    <t xml:space="preserve">Engineering</t>
  </si>
  <si>
    <t xml:space="preserve">อรทัย</t>
  </si>
  <si>
    <t xml:space="preserve">ห้อง Test 1</t>
  </si>
  <si>
    <t xml:space="preserve">ทิ้ง/ทำลาย</t>
  </si>
  <si>
    <t xml:space="preserve">4-กำลังเทส</t>
  </si>
  <si>
    <t xml:space="preserve">ส่งแล้ว</t>
  </si>
  <si>
    <t xml:space="preserve">Purchasing</t>
  </si>
  <si>
    <t xml:space="preserve">ห้อง Test 2</t>
  </si>
  <si>
    <t xml:space="preserve">5-เทสเสร็จ</t>
  </si>
  <si>
    <t xml:space="preserve">6-กำลังทำรีพอร์ท</t>
  </si>
  <si>
    <t xml:space="preserve">7-ส่งรีพอร์ทแล้ว</t>
  </si>
  <si>
    <t xml:space="preserve">8-ปิดงาน</t>
  </si>
  <si>
    <t xml:space="preserve">9-Hold</t>
  </si>
  <si>
    <t xml:space="preserve">10-Cancel</t>
  </si>
  <si>
    <t xml:space="preserve">แก้/เพิ่มรายการได้เลย — dropdown ทุกชีทดึงจากคอลัมน์เหล่านี้ (รองรับถึง 30 แถว)</t>
  </si>
  <si>
    <t xml:space="preserve">Regis No.</t>
  </si>
  <si>
    <t xml:space="preserve">ผู้รีเควส</t>
  </si>
  <si>
    <t xml:space="preserve">วันที่ได้ใบรีเควส</t>
  </si>
  <si>
    <t xml:space="preserve">ชื่อชิ้นงาน/รุ่น Lamp</t>
  </si>
  <si>
    <t xml:space="preserve">Part No.</t>
  </si>
  <si>
    <t xml:space="preserve">จำนวนพาร์ท</t>
  </si>
  <si>
    <t xml:space="preserve">วันที่รับพาร์ท</t>
  </si>
  <si>
    <t xml:space="preserve">รายละเอียดการเทส/มาตรฐาน</t>
  </si>
  <si>
    <t xml:space="preserve">Plan เริ่มเทส</t>
  </si>
  <si>
    <t xml:space="preserve">Plan จบ</t>
  </si>
  <si>
    <t xml:space="preserve">เริ่มจริง</t>
  </si>
  <si>
    <t xml:space="preserve">จบจริง</t>
  </si>
  <si>
    <t xml:space="preserve">ผู้รับผิดชอบหลัก</t>
  </si>
  <si>
    <t xml:space="preserve">ที่เก็บชิ้นงานหลังเสร็จ</t>
  </si>
  <si>
    <t xml:space="preserve">Remark</t>
  </si>
  <si>
    <t xml:space="preserve">โฟลเดอร์งาน (ลิงก์)</t>
  </si>
  <si>
    <t xml:space="preserve">ลิงก์เปิด record</t>
  </si>
  <si>
    <t xml:space="preserve">QR</t>
  </si>
  <si>
    <t xml:space="preserve">TR-2607-001</t>
  </si>
  <si>
    <t xml:space="preserve">คุณเอ (ext.1234)</t>
  </si>
  <si>
    <t xml:space="preserve">Lamp XYZ Rev.2</t>
  </si>
  <si>
    <t xml:space="preserve">P/N 12345</t>
  </si>
  <si>
    <t xml:space="preserve">Thermal cycle -40/85°C 100 cycles ตาม SPEC-TH-01</t>
  </si>
  <si>
    <t xml:space="preserve">make รีพอร์ตเลย (งานด่วน)</t>
  </si>
  <si>
    <t xml:space="preserve">(ระบบใส่ให้)</t>
  </si>
  <si>
    <t xml:space="preserve">เทสครั้งที่</t>
  </si>
  <si>
    <t xml:space="preserve">วันเริ่ม</t>
  </si>
  <si>
    <t xml:space="preserve">วันจบ</t>
  </si>
  <si>
    <t xml:space="preserve">ผู้รับผิดชอบ Loading</t>
  </si>
  <si>
    <t xml:space="preserve">ผู้รับผิดชอบเทส/เก็บผล</t>
  </si>
  <si>
    <t xml:space="preserve">ที่เก็บ Raw Data (ลิงก์)</t>
  </si>
  <si>
    <t xml:space="preserve">(ลิงก์โฟลเดอร์ 03_RawData/Run1)</t>
  </si>
  <si>
    <t xml:space="preserve">Fail ที่ cycle 57 — นัด retest</t>
  </si>
  <si>
    <t xml:space="preserve">วันที่ส่งรีพอร์ท</t>
  </si>
  <si>
    <t xml:space="preserve">ที่อยู่ไฟล์รีพอร์ท</t>
  </si>
  <si>
    <t xml:space="preserve">ลิงก์รีพอร์ท</t>
  </si>
  <si>
    <t xml:space="preserve">ผู้จัดทำ</t>
  </si>
  <si>
    <t xml:space="preserve">ผู้อนุมัติ</t>
  </si>
  <si>
    <t xml:space="preserve">TestLab/2026/TR-2607-001_LampXYZ/04_Report/Final</t>
  </si>
  <si>
    <t xml:space="preserve">(วางลิงก์ไฟล์ใน Drive)</t>
  </si>
  <si>
    <t xml:space="preserve">Dashboard สรุปงานทดสอบ</t>
  </si>
  <si>
    <t xml:space="preserve">งานทั้งหมด (record)</t>
  </si>
  <si>
    <t xml:space="preserve">งานที่ยังไม่ปิด</t>
  </si>
  <si>
    <t xml:space="preserve">เลยกำหนด Plan จบ</t>
  </si>
  <si>
    <t xml:space="preserve">ครบกำหนดใน 7 วัน</t>
  </si>
  <si>
    <t xml:space="preserve">จำนวนงานแยกตามสถานะ</t>
  </si>
  <si>
    <t xml:space="preserve">Workload ต่อคน (งานที่ยังไม่ปิด)</t>
  </si>
  <si>
    <t xml:space="preserve">Auto-calculated from TestRequests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</si>
</sst>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Tahoma"/>
      <family val="0"/>
      <charset val="1"/>
    </font>
    <font>
      <sz val="10"/>
      <name val="Tahoma"/>
      <family val="0"/>
      <charset val="1"/>
    </font>
    <font>
      <b val="true"/>
      <sz val="11"/>
      <color rgb="FF1F4E79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i val="true"/>
      <sz val="10"/>
      <color rgb="FF808080"/>
      <name val="Tahoma"/>
      <family val="0"/>
      <charset val="1"/>
    </font>
    <font>
      <b val="true"/>
      <sz val="14"/>
      <color rgb="FF1F4E79"/>
      <name val="Tahoma"/>
      <family val="0"/>
      <charset val="1"/>
    </font>
    <font>
      <b val="true"/>
      <sz val="1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23.8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23.8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13</v>
      </c>
    </row>
    <row r="20" customFormat="false" ht="23.8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3" t="s">
        <v>15</v>
      </c>
    </row>
    <row r="23" customFormat="false" ht="23.85" hidden="false" customHeight="false" outlineLevel="0" collapsed="false">
      <c r="B23" s="2" t="s">
        <v>16</v>
      </c>
    </row>
    <row r="24" customFormat="false" ht="23.8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20"/>
    <col collapsed="false" customWidth="true" hidden="false" outlineLevel="0" max="5" min="5" style="0" width="24"/>
    <col collapsed="false" customWidth="true" hidden="false" outlineLevel="0" max="7" min="6" style="0" width="16"/>
  </cols>
  <sheetData>
    <row r="1" customFormat="false" ht="30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</row>
    <row r="4" customFormat="false" ht="15" hidden="false" customHeight="false" outlineLevel="0" collapsed="false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</row>
    <row r="5" customFormat="false" ht="15" hidden="false" customHeight="false" outlineLevel="0" collapsed="false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G5" s="5" t="s">
        <v>52</v>
      </c>
    </row>
    <row r="6" customFormat="false" ht="15" hidden="false" customHeight="false" outlineLevel="0" collapsed="false">
      <c r="A6" s="5" t="s">
        <v>53</v>
      </c>
      <c r="C6" s="5" t="s">
        <v>54</v>
      </c>
      <c r="E6" s="5" t="s">
        <v>55</v>
      </c>
    </row>
    <row r="7" customFormat="false" ht="15" hidden="false" customHeight="false" outlineLevel="0" collapsed="false">
      <c r="E7" s="5" t="s">
        <v>56</v>
      </c>
    </row>
    <row r="8" customFormat="false" ht="15" hidden="false" customHeight="false" outlineLevel="0" collapsed="false">
      <c r="E8" s="5" t="s">
        <v>57</v>
      </c>
    </row>
    <row r="9" customFormat="false" ht="15" hidden="false" customHeight="false" outlineLevel="0" collapsed="false">
      <c r="E9" s="5" t="s">
        <v>58</v>
      </c>
    </row>
    <row r="10" customFormat="false" ht="15" hidden="false" customHeight="false" outlineLevel="0" collapsed="false">
      <c r="E10" s="5" t="s">
        <v>59</v>
      </c>
    </row>
    <row r="11" customFormat="false" ht="15" hidden="false" customHeight="false" outlineLevel="0" collapsed="false">
      <c r="E11" s="5" t="s">
        <v>60</v>
      </c>
    </row>
    <row r="14" customFormat="false" ht="15" hidden="false" customHeight="false" outlineLevel="0" collapsed="false">
      <c r="A14" s="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8"/>
    <col collapsed="false" customWidth="true" hidden="false" outlineLevel="0" max="14" min="11" style="0" width="11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15"/>
    <col collapsed="false" customWidth="true" hidden="false" outlineLevel="0" max="18" min="18" style="0" width="18"/>
    <col collapsed="false" customWidth="true" hidden="false" outlineLevel="0" max="20" min="19" style="0" width="22"/>
    <col collapsed="false" customWidth="true" hidden="false" outlineLevel="0" max="21" min="21" style="0" width="14"/>
  </cols>
  <sheetData>
    <row r="1" customFormat="false" ht="30" hidden="false" customHeight="true" outlineLevel="0" collapsed="false">
      <c r="A1" s="4" t="s">
        <v>62</v>
      </c>
      <c r="B1" s="4" t="s">
        <v>19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21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23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</row>
    <row r="2" customFormat="false" ht="23.85" hidden="false" customHeight="false" outlineLevel="0" collapsed="false">
      <c r="A2" s="7" t="s">
        <v>80</v>
      </c>
      <c r="B2" s="7" t="s">
        <v>26</v>
      </c>
      <c r="C2" s="7" t="s">
        <v>81</v>
      </c>
      <c r="D2" s="8" t="n">
        <v>46204</v>
      </c>
      <c r="E2" s="7" t="s">
        <v>82</v>
      </c>
      <c r="F2" s="7" t="s">
        <v>83</v>
      </c>
      <c r="G2" s="7" t="n">
        <v>4</v>
      </c>
      <c r="H2" s="8" t="n">
        <v>46206</v>
      </c>
      <c r="I2" s="7" t="s">
        <v>42</v>
      </c>
      <c r="J2" s="7" t="s">
        <v>84</v>
      </c>
      <c r="K2" s="8" t="n">
        <v>46209</v>
      </c>
      <c r="L2" s="8" t="n">
        <v>46223</v>
      </c>
      <c r="M2" s="8" t="n">
        <v>46209</v>
      </c>
      <c r="N2" s="8"/>
      <c r="O2" s="7" t="s">
        <v>51</v>
      </c>
      <c r="P2" s="7" t="s">
        <v>27</v>
      </c>
      <c r="Q2" s="7"/>
      <c r="R2" s="7" t="s">
        <v>85</v>
      </c>
      <c r="S2" s="7" t="s">
        <v>86</v>
      </c>
      <c r="T2" s="7" t="s">
        <v>86</v>
      </c>
      <c r="U2" s="7" t="s">
        <v>86</v>
      </c>
    </row>
  </sheetData>
  <dataValidations count="5">
    <dataValidation allowBlank="true" errorStyle="stop" operator="between" showDropDown="false" showErrorMessage="false" showInputMessage="false" sqref="B2:B500" type="list">
      <formula1>MasterData!$A$2:$A$30</formula1>
      <formula2>0</formula2>
    </dataValidation>
    <dataValidation allowBlank="true" errorStyle="stop" operator="between" showDropDown="false" showErrorMessage="false" showInputMessage="false" sqref="I2:I500" type="list">
      <formula1>MasterData!$C$2:$C$30</formula1>
      <formula2>0</formula2>
    </dataValidation>
    <dataValidation allowBlank="true" errorStyle="stop" operator="between" showDropDown="false" showErrorMessage="false" showInputMessage="false" sqref="O2:O500" type="list">
      <formula1>MasterData!$E$2:$E$30</formula1>
      <formula2>0</formula2>
    </dataValidation>
    <dataValidation allowBlank="true" errorStyle="stop" operator="between" showDropDown="false" showErrorMessage="false" showInputMessage="false" sqref="P2:P500" type="list">
      <formula1>MasterData!$B$2:$B$30</formula1>
      <formula2>0</formula2>
    </dataValidation>
    <dataValidation allowBlank="true" errorStyle="stop" operator="between" showDropDown="false" showErrorMessage="false" showInputMessage="false" sqref="Q2:Q500" type="list">
      <formula1>MasterData!$D$2:$D$30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4"/>
  </cols>
  <sheetData>
    <row r="1" customFormat="false" ht="30" hidden="false" customHeight="true" outlineLevel="0" collapsed="false">
      <c r="A1" s="4" t="s">
        <v>62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24</v>
      </c>
      <c r="H1" s="4" t="s">
        <v>92</v>
      </c>
      <c r="I1" s="4" t="s">
        <v>76</v>
      </c>
    </row>
    <row r="2" customFormat="false" ht="23.85" hidden="false" customHeight="false" outlineLevel="0" collapsed="false">
      <c r="A2" s="7" t="s">
        <v>80</v>
      </c>
      <c r="B2" s="7" t="n">
        <v>1</v>
      </c>
      <c r="C2" s="8" t="n">
        <v>46209</v>
      </c>
      <c r="D2" s="8" t="n">
        <v>46213</v>
      </c>
      <c r="E2" s="7" t="s">
        <v>34</v>
      </c>
      <c r="F2" s="7" t="s">
        <v>27</v>
      </c>
      <c r="G2" s="7" t="s">
        <v>38</v>
      </c>
      <c r="H2" s="7" t="s">
        <v>93</v>
      </c>
      <c r="I2" s="7" t="s">
        <v>94</v>
      </c>
    </row>
  </sheetData>
  <dataValidations count="2">
    <dataValidation allowBlank="true" errorStyle="stop" operator="between" showDropDown="false" showErrorMessage="false" showInputMessage="false" sqref="E2:F500" type="list">
      <formula1>MasterData!$B$2:$B$30</formula1>
      <formula2>0</formula2>
    </dataValidation>
    <dataValidation allowBlank="true" errorStyle="stop" operator="between" showDropDown="false" showErrorMessage="false" showInputMessage="false" sqref="G2:G500" type="list">
      <formula1>MasterData!$F$2:$F$30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3"/>
    <col collapsed="false" customWidth="true" hidden="false" outlineLevel="0" max="5" min="4" style="0" width="32"/>
    <col collapsed="false" customWidth="true" hidden="false" outlineLevel="0" max="7" min="6" style="0" width="13"/>
  </cols>
  <sheetData>
    <row r="1" customFormat="false" ht="30" hidden="false" customHeight="true" outlineLevel="0" collapsed="false">
      <c r="A1" s="4" t="s">
        <v>62</v>
      </c>
      <c r="B1" s="4" t="s">
        <v>25</v>
      </c>
      <c r="C1" s="4" t="s">
        <v>95</v>
      </c>
      <c r="D1" s="4" t="s">
        <v>96</v>
      </c>
      <c r="E1" s="4" t="s">
        <v>97</v>
      </c>
      <c r="F1" s="4" t="s">
        <v>98</v>
      </c>
      <c r="G1" s="4" t="s">
        <v>99</v>
      </c>
    </row>
    <row r="2" customFormat="false" ht="23.85" hidden="false" customHeight="false" outlineLevel="0" collapsed="false">
      <c r="A2" s="7" t="s">
        <v>80</v>
      </c>
      <c r="B2" s="7" t="s">
        <v>39</v>
      </c>
      <c r="C2" s="8"/>
      <c r="D2" s="7" t="s">
        <v>100</v>
      </c>
      <c r="E2" s="7" t="s">
        <v>101</v>
      </c>
      <c r="F2" s="7" t="s">
        <v>27</v>
      </c>
      <c r="G2" s="7" t="s">
        <v>41</v>
      </c>
    </row>
  </sheetData>
  <dataValidations count="2">
    <dataValidation allowBlank="true" errorStyle="stop" operator="between" showDropDown="false" showErrorMessage="false" showInputMessage="false" sqref="B2:B500" type="list">
      <formula1>MasterData!$G$2:$G$30</formula1>
      <formula2>0</formula2>
    </dataValidation>
    <dataValidation allowBlank="true" errorStyle="stop" operator="between" showDropDown="false" showErrorMessage="false" showInputMessage="false" sqref="F2:G500" type="list">
      <formula1>MasterData!$B$2:$B$30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17.9" hidden="false" customHeight="false" outlineLevel="0" collapsed="false">
      <c r="A1" s="9" t="s">
        <v>102</v>
      </c>
    </row>
    <row r="3" customFormat="false" ht="15" hidden="false" customHeight="false" outlineLevel="0" collapsed="false">
      <c r="A3" s="10" t="s">
        <v>103</v>
      </c>
      <c r="B3" s="11" t="n">
        <f aca="false">COUNTA(TestRequests!$A$2:$A$1000)</f>
        <v>1</v>
      </c>
    </row>
    <row r="4" customFormat="false" ht="15" hidden="false" customHeight="false" outlineLevel="0" collapsed="false">
      <c r="A4" s="10" t="s">
        <v>104</v>
      </c>
      <c r="B4" s="11" t="n">
        <f aca="false">COUNTIFS(TestRequests!$A:$A,"TR-*",TestRequests!$O:$O,"&lt;&gt;8-ปิดงาน",TestRequests!$O:$O,"&lt;&gt;10-Cancel")</f>
        <v>1</v>
      </c>
    </row>
    <row r="5" customFormat="false" ht="15" hidden="false" customHeight="false" outlineLevel="0" collapsed="false">
      <c r="A5" s="10" t="s">
        <v>105</v>
      </c>
      <c r="B5" s="11" t="n">
        <f aca="true">COUNTIFS(TestRequests!$L:$L,"&lt;"&amp;TODAY(),TestRequests!$O:$O,"&lt;&gt;8-ปิดงาน",TestRequests!$O:$O,"&lt;&gt;10-Cancel")</f>
        <v>0</v>
      </c>
    </row>
    <row r="6" customFormat="false" ht="15" hidden="false" customHeight="false" outlineLevel="0" collapsed="false">
      <c r="A6" s="10" t="s">
        <v>106</v>
      </c>
      <c r="B6" s="11" t="n">
        <f aca="true">COUNTIFS(TestRequests!$L:$L,"&gt;="&amp;TODAY(),TestRequests!$L:$L,"&lt;="&amp;TODAY()+7,TestRequests!$O:$O,"&lt;&gt;8-ปิดงาน",TestRequests!$O:$O,"&lt;&gt;10-Cancel")</f>
        <v>1</v>
      </c>
    </row>
    <row r="8" customFormat="false" ht="15" hidden="false" customHeight="false" outlineLevel="0" collapsed="false">
      <c r="A8" s="3" t="s">
        <v>107</v>
      </c>
      <c r="D8" s="3" t="s">
        <v>108</v>
      </c>
    </row>
    <row r="9" customFormat="false" ht="15" hidden="false" customHeight="false" outlineLevel="0" collapsed="false">
      <c r="A9" s="5" t="str">
        <f aca="false">MasterData!$E$2</f>
        <v>1-รับใบรีเควส</v>
      </c>
      <c r="B9" s="5" t="n">
        <f aca="false">COUNTIF(TestRequests!$O:$O,$A9)</f>
        <v>0</v>
      </c>
      <c r="D9" s="5" t="str">
        <f aca="false">IF(MasterData!$B$2="","",MasterData!$B$2)</f>
        <v>สมชาย</v>
      </c>
      <c r="E9" s="5" t="n">
        <f aca="false">IF($D9="","",COUNTIFS(TestRequests!$P:$P,$D9,TestRequests!$O:$O,"&lt;&gt;8-ปิดงาน",TestRequests!$O:$O,"&lt;&gt;10-Cancel"))</f>
        <v>1</v>
      </c>
    </row>
    <row r="10" customFormat="false" ht="15" hidden="false" customHeight="false" outlineLevel="0" collapsed="false">
      <c r="A10" s="5" t="str">
        <f aca="false">MasterData!$E$3</f>
        <v>2-รอรับพาร์ท</v>
      </c>
      <c r="B10" s="5" t="n">
        <f aca="false">COUNTIF(TestRequests!$O:$O,$A10)</f>
        <v>0</v>
      </c>
      <c r="D10" s="5" t="str">
        <f aca="false">IF(MasterData!$B$3="","",MasterData!$B$3)</f>
        <v>สมหญิง</v>
      </c>
      <c r="E10" s="5" t="n">
        <f aca="false">IF($D10="","",COUNTIFS(TestRequests!$P:$P,$D10,TestRequests!$O:$O,"&lt;&gt;8-ปิดงาน",TestRequests!$O:$O,"&lt;&gt;10-Cancel"))</f>
        <v>0</v>
      </c>
    </row>
    <row r="11" customFormat="false" ht="15" hidden="false" customHeight="false" outlineLevel="0" collapsed="false">
      <c r="A11" s="5" t="str">
        <f aca="false">MasterData!$E$4</f>
        <v>3-รับพาร์ทแล้ว/รอคิวเทส</v>
      </c>
      <c r="B11" s="5" t="n">
        <f aca="false">COUNTIF(TestRequests!$O:$O,$A11)</f>
        <v>0</v>
      </c>
      <c r="D11" s="5" t="str">
        <f aca="false">IF(MasterData!$B$4="","",MasterData!$B$4)</f>
        <v>วิชัย</v>
      </c>
      <c r="E11" s="5" t="n">
        <f aca="false">IF($D11="","",COUNTIFS(TestRequests!$P:$P,$D11,TestRequests!$O:$O,"&lt;&gt;8-ปิดงาน",TestRequests!$O:$O,"&lt;&gt;10-Cancel"))</f>
        <v>0</v>
      </c>
    </row>
    <row r="12" customFormat="false" ht="15" hidden="false" customHeight="false" outlineLevel="0" collapsed="false">
      <c r="A12" s="5" t="str">
        <f aca="false">MasterData!$E$5</f>
        <v>4-กำลังเทส</v>
      </c>
      <c r="B12" s="5" t="n">
        <f aca="false">COUNTIF(TestRequests!$O:$O,$A12)</f>
        <v>1</v>
      </c>
      <c r="D12" s="5" t="str">
        <f aca="false">IF(MasterData!$B$5="","",MasterData!$B$5)</f>
        <v>อรทัย</v>
      </c>
      <c r="E12" s="5" t="n">
        <f aca="false">IF($D12="","",COUNTIFS(TestRequests!$P:$P,$D12,TestRequests!$O:$O,"&lt;&gt;8-ปิดงาน",TestRequests!$O:$O,"&lt;&gt;10-Cancel"))</f>
        <v>0</v>
      </c>
    </row>
    <row r="13" customFormat="false" ht="15" hidden="false" customHeight="false" outlineLevel="0" collapsed="false">
      <c r="A13" s="5" t="str">
        <f aca="false">MasterData!$E$6</f>
        <v>5-เทสเสร็จ</v>
      </c>
      <c r="B13" s="5" t="n">
        <f aca="false">COUNTIF(TestRequests!$O:$O,$A13)</f>
        <v>0</v>
      </c>
      <c r="D13" s="5" t="str">
        <f aca="false">IF(MasterData!$B$6="","",MasterData!$B$6)</f>
        <v/>
      </c>
      <c r="E13" s="5" t="str">
        <f aca="false">IF($D13="","",COUNTIFS(TestRequests!$P:$P,$D13,TestRequests!$O:$O,"&lt;&gt;8-ปิดงาน",TestRequests!$O:$O,"&lt;&gt;10-Cancel"))</f>
        <v/>
      </c>
    </row>
    <row r="14" customFormat="false" ht="15" hidden="false" customHeight="false" outlineLevel="0" collapsed="false">
      <c r="A14" s="5" t="str">
        <f aca="false">MasterData!$E$7</f>
        <v>6-กำลังทำรีพอร์ท</v>
      </c>
      <c r="B14" s="5" t="n">
        <f aca="false">COUNTIF(TestRequests!$O:$O,$A14)</f>
        <v>0</v>
      </c>
      <c r="D14" s="5" t="str">
        <f aca="false">IF(MasterData!$B$7="","",MasterData!$B$7)</f>
        <v/>
      </c>
      <c r="E14" s="5" t="str">
        <f aca="false">IF($D14="","",COUNTIFS(TestRequests!$P:$P,$D14,TestRequests!$O:$O,"&lt;&gt;8-ปิดงาน",TestRequests!$O:$O,"&lt;&gt;10-Cancel"))</f>
        <v/>
      </c>
    </row>
    <row r="15" customFormat="false" ht="15" hidden="false" customHeight="false" outlineLevel="0" collapsed="false">
      <c r="A15" s="5" t="str">
        <f aca="false">MasterData!$E$8</f>
        <v>7-ส่งรีพอร์ทแล้ว</v>
      </c>
      <c r="B15" s="5" t="n">
        <f aca="false">COUNTIF(TestRequests!$O:$O,$A15)</f>
        <v>0</v>
      </c>
      <c r="D15" s="5" t="str">
        <f aca="false">IF(MasterData!$B$8="","",MasterData!$B$8)</f>
        <v/>
      </c>
      <c r="E15" s="5" t="str">
        <f aca="false">IF($D15="","",COUNTIFS(TestRequests!$P:$P,$D15,TestRequests!$O:$O,"&lt;&gt;8-ปิดงาน",TestRequests!$O:$O,"&lt;&gt;10-Cancel"))</f>
        <v/>
      </c>
    </row>
    <row r="16" customFormat="false" ht="15" hidden="false" customHeight="false" outlineLevel="0" collapsed="false">
      <c r="A16" s="5" t="str">
        <f aca="false">MasterData!$E$9</f>
        <v>8-ปิดงาน</v>
      </c>
      <c r="B16" s="5" t="n">
        <f aca="false">COUNTIF(TestRequests!$O:$O,$A16)</f>
        <v>0</v>
      </c>
      <c r="D16" s="5" t="str">
        <f aca="false">IF(MasterData!$B$9="","",MasterData!$B$9)</f>
        <v/>
      </c>
      <c r="E16" s="5" t="str">
        <f aca="false">IF($D16="","",COUNTIFS(TestRequests!$P:$P,$D16,TestRequests!$O:$O,"&lt;&gt;8-ปิดงาน",TestRequests!$O:$O,"&lt;&gt;10-Cancel"))</f>
        <v/>
      </c>
    </row>
    <row r="17" customFormat="false" ht="15" hidden="false" customHeight="false" outlineLevel="0" collapsed="false">
      <c r="A17" s="5" t="str">
        <f aca="false">MasterData!$E$10</f>
        <v>9-Hold</v>
      </c>
      <c r="B17" s="5" t="n">
        <f aca="false">COUNTIF(TestRequests!$O:$O,$A17)</f>
        <v>0</v>
      </c>
      <c r="D17" s="5" t="str">
        <f aca="false">IF(MasterData!$B$10="","",MasterData!$B$10)</f>
        <v/>
      </c>
      <c r="E17" s="5" t="str">
        <f aca="false">IF($D17="","",COUNTIFS(TestRequests!$P:$P,$D17,TestRequests!$O:$O,"&lt;&gt;8-ปิดงาน",TestRequests!$O:$O,"&lt;&gt;10-Cancel"))</f>
        <v/>
      </c>
    </row>
    <row r="18" customFormat="false" ht="15" hidden="false" customHeight="false" outlineLevel="0" collapsed="false">
      <c r="A18" s="5" t="str">
        <f aca="false">MasterData!$E$11</f>
        <v>10-Cancel</v>
      </c>
      <c r="B18" s="5" t="n">
        <f aca="false">COUNTIF(TestRequests!$O:$O,$A18)</f>
        <v>0</v>
      </c>
      <c r="D18" s="5" t="str">
        <f aca="false">IF(MasterData!$B$11="","",MasterData!$B$11)</f>
        <v/>
      </c>
      <c r="E18" s="5" t="str">
        <f aca="false">IF($D18="","",COUNTIFS(TestRequests!$P:$P,$D18,TestRequests!$O:$O,"&lt;&gt;8-ปิดงาน",TestRequests!$O:$O,"&lt;&gt;10-Cancel"))</f>
        <v/>
      </c>
    </row>
    <row r="20" customFormat="false" ht="15" hidden="false" customHeight="false" outlineLevel="0" collapsed="false">
      <c r="A20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2026-07-13T06:09:08Z</dcterms:created>
  <dc:creator>openpyxl</dc:creator>
  <dc:description/>
  <dc:language>en-US</dc:language>
  <cp:lastModifiedBy/>
  <dcterms:modified xsi:type="dcterms:W3CDTF">2026-07-13T06:09:08Z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